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st Inputs" sheetId="2" state="visible" r:id="rId2"/>
    <sheet xmlns:r="http://schemas.openxmlformats.org/officeDocument/2006/relationships" name="Scenario Summary" sheetId="3" state="visible" r:id="rId3"/>
    <sheet xmlns:r="http://schemas.openxmlformats.org/officeDocument/2006/relationships" name="Provider Check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color rgb="000000FF"/>
      <sz val="10"/>
    </font>
    <font>
      <name val="Calibri"/>
      <b val="1"/>
      <color rgb="001F4E78"/>
      <sz val="11"/>
    </font>
    <font>
      <name val="Calibri"/>
      <color rgb="000000FF"/>
      <sz val="10"/>
      <u val="single"/>
    </font>
    <font>
      <name val="Calibri"/>
      <b val="1"/>
      <color rgb="001F4E78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7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thin">
        <color rgb="00BDD7EE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/>
    </xf>
    <xf numFmtId="3" fontId="6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 wrapText="1" indent="1"/>
    </xf>
    <xf numFmtId="0" fontId="4" fillId="4" borderId="0" applyAlignment="1" pivotButton="0" quotePrefix="0" xfId="0">
      <alignment horizontal="left" vertical="center" indent="1"/>
    </xf>
    <xf numFmtId="3" fontId="6" fillId="4" borderId="0" applyAlignment="1" pivotButton="0" quotePrefix="0" xfId="0">
      <alignment horizontal="right" vertical="center"/>
    </xf>
    <xf numFmtId="3" fontId="4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 wrapText="1" indent="1"/>
    </xf>
    <xf numFmtId="0" fontId="4" fillId="5" borderId="0" applyAlignment="1" pivotButton="0" quotePrefix="0" xfId="0">
      <alignment horizontal="left" vertical="center" indent="1"/>
    </xf>
    <xf numFmtId="3" fontId="6" fillId="5" borderId="0" applyAlignment="1" pivotButton="0" quotePrefix="0" xfId="0">
      <alignment horizontal="right" vertical="center"/>
    </xf>
    <xf numFmtId="3" fontId="4" fillId="5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left" vertical="center" wrapText="1" indent="1"/>
    </xf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 indent="1"/>
    </xf>
    <xf numFmtId="0" fontId="9" fillId="7" borderId="0" applyAlignment="1" pivotButton="0" quotePrefix="0" xfId="0">
      <alignment horizontal="right" vertical="center"/>
    </xf>
    <xf numFmtId="4" fontId="9" fillId="7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 indent="1"/>
    </xf>
    <xf numFmtId="3" fontId="6" fillId="6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1"/>
    </xf>
    <xf numFmtId="3" fontId="6" fillId="0" borderId="0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First-Year Total Cost per Scenario (EUR)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'Charts'!$B$5:$B$7</f>
            </numRef>
          </cat>
          <val>
            <numRef>
              <f>'Charts'!$E$5:$E$7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One-off vs Monthly Run-Rate per Scenario (EUR)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'Charts'!$B$5:$B$7</f>
            </numRef>
          </cat>
          <val>
            <numRef>
              <f>'Charts'!$C$5:$C$7</f>
            </numRef>
          </val>
        </ser>
        <ser>
          <idx val="1"/>
          <order val="1"/>
          <tx>
            <strRef>
              <f>'Charts'!D4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'Charts'!$B$5:$B$7</f>
            </numRef>
          </cat>
          <val>
            <numRef>
              <f>'Charts'!$D$5:$D$7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Inputs" displayName="CostInputs" ref="B5:I27" headerRowCount="1">
  <autoFilter ref="B5:I27"/>
  <tableColumns count="8">
    <tableColumn id="2" name="#"/>
    <tableColumn id="3" name="Cost item"/>
    <tableColumn id="4" name="Billing"/>
    <tableColumn id="5" name="Provider / service example"/>
    <tableColumn id="6" name="Pricing basis"/>
    <tableColumn id="7" name="Ultra-lean MVP (EUR)"/>
    <tableColumn id="8" name="Realistic MVP (EUR)"/>
    <tableColumn id="9" name="Institutional rollout (EUR)"/>
  </tableColumns>
  <tableStyleInfo name="TableStyleMedium9" showFirstColumn="0" showLastColumn="0" showRowStripes="1"/>
</table>
</file>

<file path=xl/tables/table2.xml><?xml version="1.0" encoding="utf-8"?>
<table xmlns="http://schemas.openxmlformats.org/spreadsheetml/2006/main" id="2" name="ProviderChecks" displayName="ProviderChecks" ref="B5:G17" headerRowCount="1">
  <autoFilter ref="B5:G17"/>
  <tableColumns count="6">
    <tableColumn id="2" name="Provider"/>
    <tableColumn id="3" name="Service"/>
    <tableColumn id="4" name="Plan"/>
    <tableColumn id="5" name="Observed price (EUR)"/>
    <tableColumn id="6" name="Use in model"/>
    <tableColumn id="7" name="Source not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20" customWidth="1" min="3" max="3"/>
    <col width="18" customWidth="1" min="4" max="4"/>
    <col width="18" customWidth="1" min="5" max="5"/>
    <col width="18" customWidth="1" min="6" max="6"/>
    <col width="22" customWidth="1" min="7" max="7"/>
    <col width="50" customWidth="1" min="8" max="8"/>
  </cols>
  <sheetData>
    <row r="1" ht="8" customHeight="1"/>
    <row r="2" ht="30" customHeight="1">
      <c r="B2" s="1" t="inlineStr">
        <is>
          <t>UM Maastricht SBE Alumni Network – Interactive Database Cost Model</t>
        </is>
      </c>
    </row>
    <row r="3" ht="16" customHeight="1">
      <c r="B3" s="2" t="inlineStr">
        <is>
          <t>Maastricht, NL | May 2026 | All amounts in EUR | Generated: 2026-05-03</t>
        </is>
      </c>
    </row>
    <row r="4" ht="14" customHeight="1">
      <c r="B4" s="2" t="inlineStr">
        <is>
          <t>Blue text = input assumptions  |  Black bold = formula  |  Green italic = cross-sheet reference</t>
        </is>
      </c>
    </row>
    <row r="5" ht="8" customHeight="1"/>
    <row r="6" ht="30" customHeight="1">
      <c r="B6" s="3" t="inlineStr">
        <is>
          <t>Cost category</t>
        </is>
      </c>
      <c r="C6" s="3" t="inlineStr">
        <is>
          <t>Scenario</t>
        </is>
      </c>
      <c r="D6" s="3" t="inlineStr">
        <is>
          <t>One-off (EUR)</t>
        </is>
      </c>
      <c r="E6" s="3" t="inlineStr">
        <is>
          <t>Monthly run-rate (EUR)</t>
        </is>
      </c>
      <c r="F6" s="3" t="inlineStr">
        <is>
          <t>Annual fixed (EUR)</t>
        </is>
      </c>
      <c r="G6" s="3" t="inlineStr">
        <is>
          <t>First-year total (EUR)</t>
        </is>
      </c>
      <c r="H6" s="3" t="inlineStr">
        <is>
          <t>Notes</t>
        </is>
      </c>
    </row>
    <row r="7" ht="22" customHeight="1">
      <c r="B7" s="4" t="inlineStr">
        <is>
          <t>Ultra-lean MVP</t>
        </is>
      </c>
      <c r="C7" s="5" t="inlineStr">
        <is>
          <t>All categories</t>
        </is>
      </c>
      <c r="D7" s="6" t="n">
        <v>9500</v>
      </c>
      <c r="E7" s="6" t="n">
        <v>3225</v>
      </c>
      <c r="F7" s="6" t="n">
        <v>15</v>
      </c>
      <c r="G7" s="7">
        <f>D7+(E7*12)+F7</f>
        <v/>
      </c>
      <c r="H7" s="8" t="inlineStr">
        <is>
          <t>LLM-assisted self-build, volunteer support, combined single Hetzner node</t>
        </is>
      </c>
    </row>
    <row r="8" ht="22" customHeight="1">
      <c r="B8" s="9" t="inlineStr">
        <is>
          <t>Realistic MVP</t>
        </is>
      </c>
      <c r="C8" s="5" t="inlineStr">
        <is>
          <t>All categories</t>
        </is>
      </c>
      <c r="D8" s="10" t="n">
        <v>15300</v>
      </c>
      <c r="E8" s="10" t="n">
        <v>8118</v>
      </c>
      <c r="F8" s="10" t="n">
        <v>15</v>
      </c>
      <c r="G8" s="11">
        <f>D8+(E8*12)+F8</f>
        <v/>
      </c>
      <c r="H8" s="12" t="inlineStr">
        <is>
          <t>Senior freelance lead + junior, proper infra separation, GDPR review</t>
        </is>
      </c>
    </row>
    <row r="9" ht="22" customHeight="1">
      <c r="B9" s="13" t="inlineStr">
        <is>
          <t>Institutional rollout</t>
        </is>
      </c>
      <c r="C9" s="5" t="inlineStr">
        <is>
          <t>All categories</t>
        </is>
      </c>
      <c r="D9" s="14" t="n">
        <v>25900</v>
      </c>
      <c r="E9" s="14" t="n">
        <v>19428</v>
      </c>
      <c r="F9" s="14" t="n">
        <v>25</v>
      </c>
      <c r="G9" s="15">
        <f>D9+(E9*12)+F9</f>
        <v/>
      </c>
      <c r="H9" s="16" t="inlineStr">
        <is>
          <t>Full team, AI enrichment, monitored infrastructure, legal support</t>
        </is>
      </c>
    </row>
    <row r="10" ht="8" customHeight="1"/>
    <row r="11">
      <c r="B11" s="17" t="inlineStr">
        <is>
          <t>Sheet index</t>
        </is>
      </c>
    </row>
    <row r="12" ht="18" customHeight="1">
      <c r="B12" s="18" t="inlineStr">
        <is>
          <t>Cost Inputs</t>
        </is>
      </c>
      <c r="C12" s="19" t="inlineStr">
        <is>
          <t>Full 22-point cost list with billing type and provider notes</t>
        </is>
      </c>
    </row>
    <row r="13" ht="18" customHeight="1">
      <c r="B13" s="18" t="inlineStr">
        <is>
          <t>Scenario Summary</t>
        </is>
      </c>
      <c r="C13" s="19" t="inlineStr">
        <is>
          <t>Annualised totals per scenario</t>
        </is>
      </c>
    </row>
    <row r="14" ht="18" customHeight="1">
      <c r="B14" s="18" t="inlineStr">
        <is>
          <t>Provider Checks</t>
        </is>
      </c>
      <c r="C14" s="19" t="inlineStr">
        <is>
          <t>Actual provider prices verified May 2026</t>
        </is>
      </c>
    </row>
    <row r="15" ht="18" customHeight="1">
      <c r="B15" s="18" t="inlineStr">
        <is>
          <t>Charts</t>
        </is>
      </c>
      <c r="C15" s="19" t="inlineStr">
        <is>
          <t>Bar charts comparing scenarios</t>
        </is>
      </c>
    </row>
  </sheetData>
  <mergeCells count="2">
    <mergeCell ref="B2:H2"/>
    <mergeCell ref="B11:H11"/>
  </mergeCells>
  <hyperlinks>
    <hyperlink ref="B12" location="'Cost Inputs'!A1"/>
    <hyperlink ref="B13" location="'Scenario Summary'!A1"/>
    <hyperlink ref="B14" location="'Provider Checks'!A1"/>
    <hyperlink ref="B15" location="'Chart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40" customWidth="1" min="3" max="3"/>
    <col width="14" customWidth="1" min="4" max="4"/>
    <col width="20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8" customHeight="1"/>
    <row r="2" ht="30" customHeight="1">
      <c r="B2" s="1" t="inlineStr">
        <is>
          <t>UM Maastricht Alumni Network – 22-Point Cost Input Table</t>
        </is>
      </c>
    </row>
    <row r="3">
      <c r="B3" s="2" t="inlineStr">
        <is>
          <t>Blue = input assumption (hardcoded) | All recurring amounts are per month unless noted | Generated: 2026-05-03</t>
        </is>
      </c>
    </row>
    <row r="4" ht="8" customHeight="1"/>
    <row r="5" ht="36" customHeight="1">
      <c r="B5" s="3" t="inlineStr">
        <is>
          <t>#</t>
        </is>
      </c>
      <c r="C5" s="3" t="inlineStr">
        <is>
          <t>Cost item</t>
        </is>
      </c>
      <c r="D5" s="3" t="inlineStr">
        <is>
          <t>Billing</t>
        </is>
      </c>
      <c r="E5" s="3" t="inlineStr">
        <is>
          <t>Provider / service example</t>
        </is>
      </c>
      <c r="F5" s="3" t="inlineStr">
        <is>
          <t>Pricing basis</t>
        </is>
      </c>
      <c r="G5" s="3" t="inlineStr">
        <is>
          <t>Ultra-lean MVP (EUR)</t>
        </is>
      </c>
      <c r="H5" s="3" t="inlineStr">
        <is>
          <t>Realistic MVP (EUR)</t>
        </is>
      </c>
      <c r="I5" s="3" t="inlineStr">
        <is>
          <t>Institutional rollout (EUR)</t>
        </is>
      </c>
      <c r="J5" s="3" t="inlineStr">
        <is>
          <t>Notes</t>
        </is>
      </c>
    </row>
    <row r="6" ht="22" customHeight="1">
      <c r="B6" s="20" t="n">
        <v>1</v>
      </c>
      <c r="C6" s="21" t="inlineStr">
        <is>
          <t>Product strategy &amp; scoping workshop</t>
        </is>
      </c>
      <c r="D6" s="21" t="inlineStr">
        <is>
          <t>One-off</t>
        </is>
      </c>
      <c r="E6" s="21" t="inlineStr">
        <is>
          <t>Senior product consultant, 3 days</t>
        </is>
      </c>
      <c r="F6" s="21" t="inlineStr">
        <is>
          <t>€900/day x 3</t>
        </is>
      </c>
      <c r="G6" s="22" t="n">
        <v>2700</v>
      </c>
      <c r="H6" s="22" t="n">
        <v>2700</v>
      </c>
      <c r="I6" s="22" t="n">
        <v>5400</v>
      </c>
      <c r="J6" s="23" t="inlineStr">
        <is>
          <t>Defines MVP scope, user roles, data model, GDPR boundaries</t>
        </is>
      </c>
    </row>
    <row r="7" ht="22" customHeight="1">
      <c r="B7" s="24" t="n">
        <v>2</v>
      </c>
      <c r="C7" s="25" t="inlineStr">
        <is>
          <t>Functional specification &amp; backlog</t>
        </is>
      </c>
      <c r="D7" s="25" t="inlineStr">
        <is>
          <t>One-off</t>
        </is>
      </c>
      <c r="E7" s="25" t="inlineStr">
        <is>
          <t>Senior business analyst, 4 days</t>
        </is>
      </c>
      <c r="F7" s="25" t="inlineStr">
        <is>
          <t>€850/day x 4</t>
        </is>
      </c>
      <c r="G7" s="26" t="n">
        <v>3400</v>
      </c>
      <c r="H7" s="26" t="n">
        <v>5100</v>
      </c>
      <c r="I7" s="26" t="n">
        <v>6800</v>
      </c>
      <c r="J7" s="27" t="inlineStr">
        <is>
          <t>Turns alumni use cases into build-ready backlog</t>
        </is>
      </c>
    </row>
    <row r="8" ht="22" customHeight="1">
      <c r="B8" s="20" t="n">
        <v>3</v>
      </c>
      <c r="C8" s="21" t="inlineStr">
        <is>
          <t>UX design and wireframes</t>
        </is>
      </c>
      <c r="D8" s="21" t="inlineStr">
        <is>
          <t>One-off</t>
        </is>
      </c>
      <c r="E8" s="21" t="inlineStr">
        <is>
          <t>UI/UX designer, lean Figma pack</t>
        </is>
      </c>
      <c r="F8" s="21" t="inlineStr">
        <is>
          <t>€600/day x 5</t>
        </is>
      </c>
      <c r="G8" s="22" t="n">
        <v>3000</v>
      </c>
      <c r="H8" s="22" t="n">
        <v>4800</v>
      </c>
      <c r="I8" s="22" t="n">
        <v>7200</v>
      </c>
      <c r="J8" s="23" t="inlineStr">
        <is>
          <t>Registration, search, profile, event, admin screens</t>
        </is>
      </c>
    </row>
    <row r="9" ht="22" customHeight="1">
      <c r="B9" s="24" t="n">
        <v>4</v>
      </c>
      <c r="C9" s="25" t="inlineStr">
        <is>
          <t>Senior full-stack developer</t>
        </is>
      </c>
      <c r="D9" s="25" t="inlineStr">
        <is>
          <t>Monthly</t>
        </is>
      </c>
      <c r="E9" s="25" t="inlineStr">
        <is>
          <t>Part-time build lead, LLM-assisted coding</t>
        </is>
      </c>
      <c r="F9" s="25" t="inlineStr">
        <is>
          <t>€95/h x 32h</t>
        </is>
      </c>
      <c r="G9" s="26" t="n">
        <v>3040</v>
      </c>
      <c r="H9" s="26" t="n">
        <v>6080</v>
      </c>
      <c r="I9" s="26" t="n">
        <v>12160</v>
      </c>
      <c r="J9" s="27" t="inlineStr">
        <is>
          <t>Lowest realistic senior freelance rate for NL-adjacent delivery</t>
        </is>
      </c>
    </row>
    <row r="10" ht="22" customHeight="1">
      <c r="B10" s="20" t="n">
        <v>5</v>
      </c>
      <c r="C10" s="21" t="inlineStr">
        <is>
          <t>Junior developer / builder support</t>
        </is>
      </c>
      <c r="D10" s="21" t="inlineStr">
        <is>
          <t>Monthly</t>
        </is>
      </c>
      <c r="E10" s="21" t="inlineStr">
        <is>
          <t>Implementation support</t>
        </is>
      </c>
      <c r="F10" s="21" t="inlineStr">
        <is>
          <t>€45/h x 20h</t>
        </is>
      </c>
      <c r="G10" s="22" t="n">
        <v>0</v>
      </c>
      <c r="H10" s="22" t="n">
        <v>900</v>
      </c>
      <c r="I10" s="22" t="n">
        <v>3600</v>
      </c>
      <c r="J10" s="23" t="inlineStr">
        <is>
          <t>Replaceable by alumni volunteer in ultra-lean scenario</t>
        </is>
      </c>
    </row>
    <row r="11" ht="22" customHeight="1">
      <c r="B11" s="24" t="n">
        <v>6</v>
      </c>
      <c r="C11" s="25" t="inlineStr">
        <is>
          <t>Project management</t>
        </is>
      </c>
      <c r="D11" s="25" t="inlineStr">
        <is>
          <t>Monthly</t>
        </is>
      </c>
      <c r="E11" s="25" t="inlineStr">
        <is>
          <t>Light coordination, stakeholder sync</t>
        </is>
      </c>
      <c r="F11" s="25" t="inlineStr">
        <is>
          <t>€70/h x 8h</t>
        </is>
      </c>
      <c r="G11" s="26" t="n">
        <v>0</v>
      </c>
      <c r="H11" s="26" t="n">
        <v>560</v>
      </c>
      <c r="I11" s="26" t="n">
        <v>1680</v>
      </c>
      <c r="J11" s="27" t="inlineStr">
        <is>
          <t>Can sit with alumni office coordinator in lean setup</t>
        </is>
      </c>
    </row>
    <row r="12" ht="22" customHeight="1">
      <c r="B12" s="20" t="n">
        <v>7</v>
      </c>
      <c r="C12" s="21" t="inlineStr">
        <is>
          <t>QA and testing</t>
        </is>
      </c>
      <c r="D12" s="21" t="inlineStr">
        <is>
          <t>Monthly</t>
        </is>
      </c>
      <c r="E12" s="21" t="inlineStr">
        <is>
          <t>Manual test cycles</t>
        </is>
      </c>
      <c r="F12" s="21" t="inlineStr">
        <is>
          <t>€40/h x 12h</t>
        </is>
      </c>
      <c r="G12" s="22" t="n">
        <v>160</v>
      </c>
      <c r="H12" s="22" t="n">
        <v>480</v>
      </c>
      <c r="I12" s="22" t="n">
        <v>1440</v>
      </c>
      <c r="J12" s="23" t="inlineStr">
        <is>
          <t>Ultra-lean assumes mostly self-testing by build lead</t>
        </is>
      </c>
    </row>
    <row r="13" ht="22" customHeight="1">
      <c r="B13" s="24" t="n">
        <v>8</v>
      </c>
      <c r="C13" s="25" t="inlineStr">
        <is>
          <t>Frontend hosting server</t>
        </is>
      </c>
      <c r="D13" s="25" t="inlineStr">
        <is>
          <t>Monthly</t>
        </is>
      </c>
      <c r="E13" s="25" t="inlineStr">
        <is>
          <t>Hetzner Cloud CX23 (post Apr 2026 price)</t>
        </is>
      </c>
      <c r="F13" s="25" t="inlineStr">
        <is>
          <t>€3.99/month</t>
        </is>
      </c>
      <c r="G13" s="26" t="n">
        <v>3.99</v>
      </c>
      <c r="H13" s="26" t="n">
        <v>3.99</v>
      </c>
      <c r="I13" s="26" t="n">
        <v>7.99</v>
      </c>
      <c r="J13" s="27" t="inlineStr">
        <is>
          <t>Smallest current Hetzner cloud entry after 2026 revision</t>
        </is>
      </c>
    </row>
    <row r="14" ht="22" customHeight="1">
      <c r="B14" s="20" t="n">
        <v>9</v>
      </c>
      <c r="C14" s="21" t="inlineStr">
        <is>
          <t>Application server</t>
        </is>
      </c>
      <c r="D14" s="21" t="inlineStr">
        <is>
          <t>Monthly</t>
        </is>
      </c>
      <c r="E14" s="21" t="inlineStr">
        <is>
          <t>Hetzner Cloud CPX21 or equivalent</t>
        </is>
      </c>
      <c r="F14" s="21" t="inlineStr">
        <is>
          <t>€5.99 to €7.99/month</t>
        </is>
      </c>
      <c r="G14" s="22" t="n">
        <v>0</v>
      </c>
      <c r="H14" s="22" t="n">
        <v>7.99</v>
      </c>
      <c r="I14" s="22" t="n">
        <v>15.99</v>
      </c>
      <c r="J14" s="23" t="inlineStr">
        <is>
          <t>Ultra-lean combines app and DB on single frontend node</t>
        </is>
      </c>
    </row>
    <row r="15" ht="22" customHeight="1">
      <c r="B15" s="24" t="n">
        <v>10</v>
      </c>
      <c r="C15" s="25" t="inlineStr">
        <is>
          <t>Database server</t>
        </is>
      </c>
      <c r="D15" s="25" t="inlineStr">
        <is>
          <t>Monthly</t>
        </is>
      </c>
      <c r="E15" s="25" t="inlineStr">
        <is>
          <t>Hetzner VPS or managed node</t>
        </is>
      </c>
      <c r="F15" s="25" t="inlineStr">
        <is>
          <t>€5.99 to €7.99/month</t>
        </is>
      </c>
      <c r="G15" s="26" t="n">
        <v>0</v>
      </c>
      <c r="H15" s="26" t="n">
        <v>7.99</v>
      </c>
      <c r="I15" s="26" t="n">
        <v>15.99</v>
      </c>
      <c r="J15" s="27" t="inlineStr">
        <is>
          <t>Separate DB node from realistic scenario upward</t>
        </is>
      </c>
    </row>
    <row r="16" ht="22" customHeight="1">
      <c r="B16" s="20" t="n">
        <v>11</v>
      </c>
      <c r="C16" s="21" t="inlineStr">
        <is>
          <t>Backups and snapshots</t>
        </is>
      </c>
      <c r="D16" s="21" t="inlineStr">
        <is>
          <t>Monthly</t>
        </is>
      </c>
      <c r="E16" s="21" t="inlineStr">
        <is>
          <t>Hetzner daily snapshots + storage reserve</t>
        </is>
      </c>
      <c r="F16" s="21" t="inlineStr">
        <is>
          <t>Approx €2/month</t>
        </is>
      </c>
      <c r="G16" s="22" t="n">
        <v>1</v>
      </c>
      <c r="H16" s="22" t="n">
        <v>2</v>
      </c>
      <c r="I16" s="22" t="n">
        <v>8</v>
      </c>
      <c r="J16" s="23" t="inlineStr">
        <is>
          <t>Minimum prudent reserve; scales with DB size</t>
        </is>
      </c>
    </row>
    <row r="17" ht="22" customHeight="1">
      <c r="B17" s="24" t="n">
        <v>12</v>
      </c>
      <c r="C17" s="25" t="inlineStr">
        <is>
          <t>Object storage for media &amp; exports</t>
        </is>
      </c>
      <c r="D17" s="25" t="inlineStr">
        <is>
          <t>Monthly</t>
        </is>
      </c>
      <c r="E17" s="25" t="inlineStr">
        <is>
          <t>Hetzner Object Storage (post-2026 price)</t>
        </is>
      </c>
      <c r="F17" s="25" t="inlineStr">
        <is>
          <t>Approx €7.72/month</t>
        </is>
      </c>
      <c r="G17" s="26" t="n">
        <v>0</v>
      </c>
      <c r="H17" s="26" t="n">
        <v>7.72</v>
      </c>
      <c r="I17" s="26" t="n">
        <v>15.44</v>
      </c>
      <c r="J17" s="27" t="inlineStr">
        <is>
          <t>Profile images, CVs, event files, exports</t>
        </is>
      </c>
    </row>
    <row r="18" ht="22" customHeight="1">
      <c r="B18" s="20" t="n">
        <v>13</v>
      </c>
      <c r="C18" s="21" t="inlineStr">
        <is>
          <t>Domain name (.nl)</t>
        </is>
      </c>
      <c r="D18" s="21" t="inlineStr">
        <is>
          <t>Yearly</t>
        </is>
      </c>
      <c r="E18" s="21" t="inlineStr">
        <is>
          <t>Low-cost NL registrar</t>
        </is>
      </c>
      <c r="F18" s="21" t="inlineStr">
        <is>
          <t>€15/year</t>
        </is>
      </c>
      <c r="G18" s="22" t="n">
        <v>15</v>
      </c>
      <c r="H18" s="22" t="n">
        <v>15</v>
      </c>
      <c r="I18" s="22" t="n">
        <v>25</v>
      </c>
      <c r="J18" s="23" t="inlineStr">
        <is>
          <t>Example: alumni.sbe.maastrichtuniversity.nl or similar</t>
        </is>
      </c>
    </row>
    <row r="19" ht="22" customHeight="1">
      <c r="B19" s="24" t="n">
        <v>14</v>
      </c>
      <c r="C19" s="25" t="inlineStr">
        <is>
          <t>SSL certificate</t>
        </is>
      </c>
      <c r="D19" s="25" t="inlineStr">
        <is>
          <t>Yearly</t>
        </is>
      </c>
      <c r="E19" s="25" t="inlineStr">
        <is>
          <t>Let's Encrypt (free)</t>
        </is>
      </c>
      <c r="F19" s="25" t="inlineStr">
        <is>
          <t>€0/year</t>
        </is>
      </c>
      <c r="G19" s="26" t="n">
        <v>0</v>
      </c>
      <c r="H19" s="26" t="n">
        <v>0</v>
      </c>
      <c r="I19" s="26" t="n">
        <v>0</v>
      </c>
      <c r="J19" s="27" t="inlineStr">
        <is>
          <t>Automated DV certificate; no commercial SSL required</t>
        </is>
      </c>
    </row>
    <row r="20" ht="22" customHeight="1">
      <c r="B20" s="20" t="n">
        <v>15</v>
      </c>
      <c r="C20" s="21" t="inlineStr">
        <is>
          <t>Transactional email</t>
        </is>
      </c>
      <c r="D20" s="21" t="inlineStr">
        <is>
          <t>Monthly</t>
        </is>
      </c>
      <c r="E20" s="21" t="inlineStr">
        <is>
          <t>Postmark Basic 10,000 emails</t>
        </is>
      </c>
      <c r="F20" s="21" t="inlineStr">
        <is>
          <t>$15/month ≈ €13.80</t>
        </is>
      </c>
      <c r="G20" s="22" t="n">
        <v>0</v>
      </c>
      <c r="H20" s="22" t="n">
        <v>13.8</v>
      </c>
      <c r="I20" s="22" t="n">
        <v>56</v>
      </c>
      <c r="J20" s="23" t="inlineStr">
        <is>
          <t>Verification, invites, password reset; newsletter excluded</t>
        </is>
      </c>
    </row>
    <row r="21" ht="22" customHeight="1">
      <c r="B21" s="24" t="n">
        <v>16</v>
      </c>
      <c r="C21" s="25" t="inlineStr">
        <is>
          <t>Monitoring and uptime alerts</t>
        </is>
      </c>
      <c r="D21" s="25" t="inlineStr">
        <is>
          <t>Monthly</t>
        </is>
      </c>
      <c r="E21" s="25" t="inlineStr">
        <is>
          <t>UptimeRobot free / Better Stack entry</t>
        </is>
      </c>
      <c r="F21" s="25" t="inlineStr">
        <is>
          <t>€0 to €29/month</t>
        </is>
      </c>
      <c r="G21" s="26" t="n">
        <v>0</v>
      </c>
      <c r="H21" s="26" t="n">
        <v>8</v>
      </c>
      <c r="I21" s="26" t="n">
        <v>29</v>
      </c>
      <c r="J21" s="27" t="inlineStr">
        <is>
          <t>Free in ultra-lean; paid for SLA alerting from realistic</t>
        </is>
      </c>
    </row>
    <row r="22" ht="22" customHeight="1">
      <c r="B22" s="20" t="n">
        <v>17</v>
      </c>
      <c r="C22" s="21" t="inlineStr">
        <is>
          <t>Auth, WAF and bot protection</t>
        </is>
      </c>
      <c r="D22" s="21" t="inlineStr">
        <is>
          <t>Monthly</t>
        </is>
      </c>
      <c r="E22" s="21" t="inlineStr">
        <is>
          <t>Cloudflare Free / Pro</t>
        </is>
      </c>
      <c r="F22" s="21" t="inlineStr">
        <is>
          <t>€0 to €20/month</t>
        </is>
      </c>
      <c r="G22" s="22" t="n">
        <v>0</v>
      </c>
      <c r="H22" s="22" t="n">
        <v>0</v>
      </c>
      <c r="I22" s="22" t="n">
        <v>20</v>
      </c>
      <c r="J22" s="23" t="inlineStr">
        <is>
          <t>Basic WAF and DNS on free tier is sufficient for MVP</t>
        </is>
      </c>
    </row>
    <row r="23" ht="22" customHeight="1">
      <c r="B23" s="24" t="n">
        <v>18</v>
      </c>
      <c r="C23" s="25" t="inlineStr">
        <is>
          <t>Search and filtering capability</t>
        </is>
      </c>
      <c r="D23" s="25" t="inlineStr">
        <is>
          <t>Monthly</t>
        </is>
      </c>
      <c r="E23" s="25" t="inlineStr">
        <is>
          <t>Self-hosted Meilisearch or PG full-text</t>
        </is>
      </c>
      <c r="F23" s="25" t="inlineStr">
        <is>
          <t>Low infra cost only</t>
        </is>
      </c>
      <c r="G23" s="26" t="n">
        <v>0</v>
      </c>
      <c r="H23" s="26" t="n">
        <v>8</v>
      </c>
      <c r="I23" s="26" t="n">
        <v>25</v>
      </c>
      <c r="J23" s="27" t="inlineStr">
        <is>
          <t>No SaaS search cost assumed at MVP stage</t>
        </is>
      </c>
    </row>
    <row r="24" ht="22" customHeight="1">
      <c r="B24" s="20" t="n">
        <v>19</v>
      </c>
      <c r="C24" s="21" t="inlineStr">
        <is>
          <t>AI coding support tools</t>
        </is>
      </c>
      <c r="D24" s="21" t="inlineStr">
        <is>
          <t>Monthly</t>
        </is>
      </c>
      <c r="E24" s="21" t="inlineStr">
        <is>
          <t>LLM coding assistant (1-2 builder seats)</t>
        </is>
      </c>
      <c r="F24" s="21" t="inlineStr">
        <is>
          <t>€20 to €50/seat</t>
        </is>
      </c>
      <c r="G24" s="22" t="n">
        <v>20</v>
      </c>
      <c r="H24" s="22" t="n">
        <v>40</v>
      </c>
      <c r="I24" s="22" t="n">
        <v>100</v>
      </c>
      <c r="J24" s="23" t="inlineStr">
        <is>
          <t>Copilot, Cursor, or similar; reduces build hours significantly</t>
        </is>
      </c>
    </row>
    <row r="25" ht="22" customHeight="1">
      <c r="B25" s="24" t="n">
        <v>20</v>
      </c>
      <c r="C25" s="25" t="inlineStr">
        <is>
          <t>AI matching or enrichment API budget</t>
        </is>
      </c>
      <c r="D25" s="25" t="inlineStr">
        <is>
          <t>Monthly</t>
        </is>
      </c>
      <c r="E25" s="25" t="inlineStr">
        <is>
          <t>OpenAI API usage reserve (pay-as-you-go)</t>
        </is>
      </c>
      <c r="F25" s="25" t="inlineStr">
        <is>
          <t>Variable reserve</t>
        </is>
      </c>
      <c r="G25" s="26" t="n">
        <v>0</v>
      </c>
      <c r="H25" s="26" t="n">
        <v>60</v>
      </c>
      <c r="I25" s="26" t="n">
        <v>250</v>
      </c>
      <c r="J25" s="27" t="inlineStr">
        <is>
          <t>Profile summarisation, tagging, alumni matching; no fixed sub</t>
        </is>
      </c>
    </row>
    <row r="26" ht="22" customHeight="1">
      <c r="B26" s="20" t="n">
        <v>21</v>
      </c>
      <c r="C26" s="21" t="inlineStr">
        <is>
          <t>Data cleaning and import setup</t>
        </is>
      </c>
      <c r="D26" s="21" t="inlineStr">
        <is>
          <t>One-off</t>
        </is>
      </c>
      <c r="E26" s="21" t="inlineStr">
        <is>
          <t>CSV, LinkedIn, forms, dedupe preparation</t>
        </is>
      </c>
      <c r="F26" s="21" t="inlineStr">
        <is>
          <t>€35/h x 20h</t>
        </is>
      </c>
      <c r="G26" s="22" t="n">
        <v>400</v>
      </c>
      <c r="H26" s="22" t="n">
        <v>1200</v>
      </c>
      <c r="I26" s="22" t="n">
        <v>2500</v>
      </c>
      <c r="J26" s="23" t="inlineStr">
        <is>
          <t>Essential: current data appears fragmented and manual</t>
        </is>
      </c>
    </row>
    <row r="27" ht="22" customHeight="1">
      <c r="B27" s="24" t="n">
        <v>22</v>
      </c>
      <c r="C27" s="25" t="inlineStr">
        <is>
          <t>Legal and privacy review</t>
        </is>
      </c>
      <c r="D27" s="25" t="inlineStr">
        <is>
          <t>One-off</t>
        </is>
      </c>
      <c r="E27" s="25" t="inlineStr">
        <is>
          <t>GDPR terms, privacy notice, DPA review</t>
        </is>
      </c>
      <c r="F27" s="25" t="inlineStr">
        <is>
          <t>Small external legal review</t>
        </is>
      </c>
      <c r="G27" s="26" t="n">
        <v>0</v>
      </c>
      <c r="H27" s="26" t="n">
        <v>1500</v>
      </c>
      <c r="I27" s="26" t="n">
        <v>4000</v>
      </c>
      <c r="J27" s="27" t="inlineStr">
        <is>
          <t>Required for alumni data processing and self-service portal</t>
        </is>
      </c>
    </row>
    <row r="28" ht="24" customHeight="1">
      <c r="B28" s="28" t="inlineStr">
        <is>
          <t>TOTAL (sum of all 22 cost points, EUR)</t>
        </is>
      </c>
      <c r="G28" s="29">
        <f>SUM(G6:G27)</f>
        <v/>
      </c>
      <c r="H28" s="29">
        <f>SUM(H6:H27)</f>
        <v/>
      </c>
      <c r="I28" s="29">
        <f>SUM(I6:I27)</f>
        <v/>
      </c>
    </row>
  </sheetData>
  <mergeCells count="2">
    <mergeCell ref="B28:F28"/>
    <mergeCell ref="B2:J2"/>
  </mergeCells>
  <conditionalFormatting sqref="G6:G27">
    <cfRule type="dataBar" priority="1">
      <dataBar>
        <cfvo type="min"/>
        <cfvo type="max"/>
        <color rgb="004472C4"/>
      </dataBar>
    </cfRule>
  </conditionalFormatting>
  <conditionalFormatting sqref="H6:H27">
    <cfRule type="dataBar" priority="2">
      <dataBar>
        <cfvo type="min"/>
        <cfvo type="max"/>
        <color rgb="004472C4"/>
      </dataBar>
    </cfRule>
  </conditionalFormatting>
  <conditionalFormatting sqref="I6:I27">
    <cfRule type="dataBar" priority="3">
      <dataBar>
        <cfvo type="min"/>
        <cfvo type="max"/>
        <color rgb="004472C4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36" customWidth="1" min="7" max="7"/>
  </cols>
  <sheetData>
    <row r="1" ht="8" customHeight="1"/>
    <row r="2" ht="30" customHeight="1">
      <c r="B2" s="1" t="inlineStr">
        <is>
          <t>Scenario Summary – Annualised Cost Breakdown</t>
        </is>
      </c>
    </row>
    <row r="3">
      <c r="B3" s="2" t="inlineStr">
        <is>
          <t>Recurring items annualised (monthly x 12). Blue = input. Black = formula. All EUR.</t>
        </is>
      </c>
    </row>
    <row r="4" ht="8" customHeight="1"/>
    <row r="5" ht="36" customHeight="1">
      <c r="B5" s="3" t="inlineStr">
        <is>
          <t>Scenario</t>
        </is>
      </c>
      <c r="C5" s="3" t="inlineStr">
        <is>
          <t>One-off costs (EUR)</t>
        </is>
      </c>
      <c r="D5" s="3" t="inlineStr">
        <is>
          <t>Monthly run-rate (EUR)</t>
        </is>
      </c>
      <c r="E5" s="3" t="inlineStr">
        <is>
          <t>Annual fixed costs (EUR)</t>
        </is>
      </c>
      <c r="F5" s="3" t="inlineStr">
        <is>
          <t>Estimated first-year total (EUR)</t>
        </is>
      </c>
      <c r="G5" s="3" t="inlineStr">
        <is>
          <t>Description</t>
        </is>
      </c>
    </row>
    <row r="6" ht="24" customHeight="1">
      <c r="B6" s="4" t="inlineStr">
        <is>
          <t>Ultra-lean MVP</t>
        </is>
      </c>
      <c r="C6" s="6" t="n">
        <v>9500</v>
      </c>
      <c r="D6" s="6" t="n">
        <v>3225</v>
      </c>
      <c r="E6" s="6" t="n">
        <v>15</v>
      </c>
      <c r="F6" s="7">
        <f>C6+(D6*12)+E6</f>
        <v/>
      </c>
      <c r="G6" s="8" t="inlineStr">
        <is>
          <t>LLM-assisted self-build, volunteer support, single Hetzner node, no legal review</t>
        </is>
      </c>
    </row>
    <row r="7" ht="24" customHeight="1">
      <c r="B7" s="9" t="inlineStr">
        <is>
          <t>Realistic MVP</t>
        </is>
      </c>
      <c r="C7" s="10" t="n">
        <v>15300</v>
      </c>
      <c r="D7" s="10" t="n">
        <v>8118</v>
      </c>
      <c r="E7" s="10" t="n">
        <v>15</v>
      </c>
      <c r="F7" s="11">
        <f>C7+(D7*12)+E7</f>
        <v/>
      </c>
      <c r="G7" s="12" t="inlineStr">
        <is>
          <t>Senior freelance lead + junior, proper infra separation, GDPR review included</t>
        </is>
      </c>
    </row>
    <row r="8" ht="24" customHeight="1">
      <c r="B8" s="13" t="inlineStr">
        <is>
          <t>Institutional rollout</t>
        </is>
      </c>
      <c r="C8" s="14" t="n">
        <v>25900</v>
      </c>
      <c r="D8" s="14" t="n">
        <v>19428</v>
      </c>
      <c r="E8" s="14" t="n">
        <v>25</v>
      </c>
      <c r="F8" s="15">
        <f>C8+(D8*12)+E8</f>
        <v/>
      </c>
      <c r="G8" s="16" t="inlineStr">
        <is>
          <t>Full team, AI enrichment, monitored infrastructure, full legal support</t>
        </is>
      </c>
    </row>
    <row r="10" ht="12" customHeight="1"/>
    <row r="11" ht="30" customHeight="1">
      <c r="B11" s="17" t="inlineStr">
        <is>
          <t>Cost category breakdown per scenario (EUR, first-year estimate)</t>
        </is>
      </c>
    </row>
    <row r="12" ht="30" customHeight="1">
      <c r="B12" s="3" t="inlineStr">
        <is>
          <t>Category</t>
        </is>
      </c>
      <c r="C12" s="3" t="inlineStr">
        <is>
          <t>Ultra-lean MVP</t>
        </is>
      </c>
      <c r="D12" s="3" t="inlineStr">
        <is>
          <t>Realistic MVP</t>
        </is>
      </c>
      <c r="E12" s="3" t="inlineStr">
        <is>
          <t>Institutional rollout</t>
        </is>
      </c>
    </row>
    <row r="13" ht="20" customHeight="1">
      <c r="B13" s="30" t="inlineStr">
        <is>
          <t>People (dev, PM, QA) – one-off + 6m run</t>
        </is>
      </c>
      <c r="C13" s="31" t="n">
        <v>9100</v>
      </c>
      <c r="D13" s="31" t="n">
        <v>30960</v>
      </c>
      <c r="E13" s="31" t="n">
        <v>102300</v>
      </c>
    </row>
    <row r="14" ht="20" customHeight="1">
      <c r="B14" s="32" t="inlineStr">
        <is>
          <t>Server and hosting infrastructure</t>
        </is>
      </c>
      <c r="C14" s="33" t="n">
        <v>63</v>
      </c>
      <c r="D14" s="33" t="n">
        <v>584</v>
      </c>
      <c r="E14" s="33" t="n">
        <v>1318</v>
      </c>
    </row>
    <row r="15" ht="20" customHeight="1">
      <c r="B15" s="30" t="inlineStr">
        <is>
          <t>Communication and tooling</t>
        </is>
      </c>
      <c r="C15" s="31" t="n">
        <v>240</v>
      </c>
      <c r="D15" s="31" t="n">
        <v>985</v>
      </c>
      <c r="E15" s="31" t="n">
        <v>3492</v>
      </c>
    </row>
    <row r="16" ht="20" customHeight="1">
      <c r="B16" s="32" t="inlineStr">
        <is>
          <t>Data, legal and setup</t>
        </is>
      </c>
      <c r="C16" s="33" t="n">
        <v>400</v>
      </c>
      <c r="D16" s="33" t="n">
        <v>2700</v>
      </c>
      <c r="E16" s="33" t="n">
        <v>6500</v>
      </c>
    </row>
    <row r="17" ht="20" customHeight="1">
      <c r="B17" s="30" t="inlineStr">
        <is>
          <t>AI tools and APIs</t>
        </is>
      </c>
      <c r="C17" s="31" t="n">
        <v>240</v>
      </c>
      <c r="D17" s="31" t="n">
        <v>1200</v>
      </c>
      <c r="E17" s="31" t="n">
        <v>4200</v>
      </c>
    </row>
  </sheetData>
  <mergeCells count="2">
    <mergeCell ref="B2:G2"/>
    <mergeCell ref="B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24" customWidth="1" min="3" max="3"/>
    <col width="18" customWidth="1" min="4" max="4"/>
    <col width="22" customWidth="1" min="5" max="5"/>
    <col width="14" customWidth="1" min="6" max="6"/>
    <col width="40" customWidth="1" min="7" max="7"/>
  </cols>
  <sheetData>
    <row r="1" ht="8" customHeight="1"/>
    <row r="2" ht="30" customHeight="1">
      <c r="B2" s="1" t="inlineStr">
        <is>
          <t>Provider Price Verification – May 2026</t>
        </is>
      </c>
    </row>
    <row r="3">
      <c r="B3" s="2" t="inlineStr">
        <is>
          <t>Prices sourced from official provider pages and third-party trackers as of May 2026.</t>
        </is>
      </c>
    </row>
    <row r="4" ht="8" customHeight="1"/>
    <row r="5" ht="36" customHeight="1">
      <c r="B5" s="3" t="inlineStr">
        <is>
          <t>Provider</t>
        </is>
      </c>
      <c r="C5" s="3" t="inlineStr">
        <is>
          <t>Service</t>
        </is>
      </c>
      <c r="D5" s="3" t="inlineStr">
        <is>
          <t>Plan</t>
        </is>
      </c>
      <c r="E5" s="3" t="inlineStr">
        <is>
          <t>Observed price (EUR)</t>
        </is>
      </c>
      <c r="F5" s="3" t="inlineStr">
        <is>
          <t>Use in model</t>
        </is>
      </c>
      <c r="G5" s="3" t="inlineStr">
        <is>
          <t>Source note</t>
        </is>
      </c>
    </row>
    <row r="6" ht="22" customHeight="1">
      <c r="B6" s="21" t="inlineStr">
        <is>
          <t>Hetzner</t>
        </is>
      </c>
      <c r="C6" s="21" t="inlineStr">
        <is>
          <t>Cloud server entry</t>
        </is>
      </c>
      <c r="D6" s="21" t="inlineStr">
        <is>
          <t>CX23</t>
        </is>
      </c>
      <c r="E6" s="34" t="inlineStr">
        <is>
          <t>€3.99/month</t>
        </is>
      </c>
      <c r="F6" s="21" t="inlineStr">
        <is>
          <t>Frontend node (all scenarios)</t>
        </is>
      </c>
      <c r="G6" s="23" t="inlineStr">
        <is>
          <t>Official April 2026 price adjustment; confirmed by costgoat.com tracker</t>
        </is>
      </c>
    </row>
    <row r="7" ht="22" customHeight="1">
      <c r="B7" s="25" t="inlineStr">
        <is>
          <t>Hetzner</t>
        </is>
      </c>
      <c r="C7" s="25" t="inlineStr">
        <is>
          <t>Cloud server performance</t>
        </is>
      </c>
      <c r="D7" s="25" t="inlineStr">
        <is>
          <t>CPX21 or CPX22</t>
        </is>
      </c>
      <c r="E7" s="35" t="inlineStr">
        <is>
          <t>€5.99 to €7.99/month</t>
        </is>
      </c>
      <c r="F7" s="25" t="inlineStr">
        <is>
          <t>App and DB nodes (realistic+)</t>
        </is>
      </c>
      <c r="G7" s="27" t="inlineStr">
        <is>
          <t>Post-2026 price revision; range reflects instance tier choice</t>
        </is>
      </c>
    </row>
    <row r="8" ht="22" customHeight="1">
      <c r="B8" s="21" t="inlineStr">
        <is>
          <t>Hetzner</t>
        </is>
      </c>
      <c r="C8" s="21" t="inlineStr">
        <is>
          <t>Object Storage base</t>
        </is>
      </c>
      <c r="D8" s="21" t="inlineStr">
        <is>
          <t>Object Storage</t>
        </is>
      </c>
      <c r="E8" s="34" t="inlineStr">
        <is>
          <t>Approx €7.72/month</t>
        </is>
      </c>
      <c r="F8" s="21" t="inlineStr">
        <is>
          <t>Media and exports (realistic+)</t>
        </is>
      </c>
      <c r="G8" s="23" t="inlineStr">
        <is>
          <t>Third-party tracking aligns with official announcement</t>
        </is>
      </c>
    </row>
    <row r="9" ht="22" customHeight="1">
      <c r="B9" s="25" t="inlineStr">
        <is>
          <t>Hetzner</t>
        </is>
      </c>
      <c r="C9" s="25" t="inlineStr">
        <is>
          <t>Daily snapshots</t>
        </is>
      </c>
      <c r="D9" s="25" t="inlineStr">
        <is>
          <t>Snapshot storage</t>
        </is>
      </c>
      <c r="E9" s="35" t="inlineStr">
        <is>
          <t>Approx €1 to €2/month</t>
        </is>
      </c>
      <c r="F9" s="25" t="inlineStr">
        <is>
          <t>Backup reserve (all scenarios)</t>
        </is>
      </c>
      <c r="G9" s="27" t="inlineStr">
        <is>
          <t>Estimated based on typical 10-20 GB snapshot volume</t>
        </is>
      </c>
    </row>
    <row r="10" ht="22" customHeight="1">
      <c r="B10" s="21" t="inlineStr">
        <is>
          <t>Postmark</t>
        </is>
      </c>
      <c r="C10" s="21" t="inlineStr">
        <is>
          <t>Transactional email</t>
        </is>
      </c>
      <c r="D10" s="21" t="inlineStr">
        <is>
          <t>Basic plan</t>
        </is>
      </c>
      <c r="E10" s="34" t="inlineStr">
        <is>
          <t>$15/month (approx €13.80)</t>
        </is>
      </c>
      <c r="F10" s="21" t="inlineStr">
        <is>
          <t>Email (realistic+)</t>
        </is>
      </c>
      <c r="G10" s="23" t="inlineStr">
        <is>
          <t>saaspricepulse.com and checkthat.ai confirmed May 2026; 10k emails included</t>
        </is>
      </c>
    </row>
    <row r="11" ht="22" customHeight="1">
      <c r="B11" s="25" t="inlineStr">
        <is>
          <t>Cloudflare</t>
        </is>
      </c>
      <c r="C11" s="25" t="inlineStr">
        <is>
          <t>DNS, SSL, basic WAF</t>
        </is>
      </c>
      <c r="D11" s="25" t="inlineStr">
        <is>
          <t>Free tier</t>
        </is>
      </c>
      <c r="E11" s="35" t="inlineStr">
        <is>
          <t>€0/month</t>
        </is>
      </c>
      <c r="F11" s="25" t="inlineStr">
        <is>
          <t>Auth layer (ultra-lean, realistic)</t>
        </is>
      </c>
      <c r="G11" s="27" t="inlineStr">
        <is>
          <t>Stable free product; no account required for basic DNS and proxying</t>
        </is>
      </c>
    </row>
    <row r="12" ht="22" customHeight="1">
      <c r="B12" s="21" t="inlineStr">
        <is>
          <t>Let's Encrypt</t>
        </is>
      </c>
      <c r="C12" s="21" t="inlineStr">
        <is>
          <t>SSL certificate</t>
        </is>
      </c>
      <c r="D12" s="21" t="inlineStr">
        <is>
          <t>Standard DV</t>
        </is>
      </c>
      <c r="E12" s="34" t="inlineStr">
        <is>
          <t>€0/year</t>
        </is>
      </c>
      <c r="F12" s="21" t="inlineStr">
        <is>
          <t>SSL (all scenarios)</t>
        </is>
      </c>
      <c r="G12" s="23" t="inlineStr">
        <is>
          <t>Free, auto-renewed certificate via Certbot</t>
        </is>
      </c>
    </row>
    <row r="13" ht="22" customHeight="1">
      <c r="B13" s="25" t="inlineStr">
        <is>
          <t>OpenAI</t>
        </is>
      </c>
      <c r="C13" s="25" t="inlineStr">
        <is>
          <t>API – light AI enrichment</t>
        </is>
      </c>
      <c r="D13" s="25" t="inlineStr">
        <is>
          <t>Usage-based</t>
        </is>
      </c>
      <c r="E13" s="35" t="inlineStr">
        <is>
          <t>€0.002-€0.15/1K tokens</t>
        </is>
      </c>
      <c r="F13" s="25" t="inlineStr">
        <is>
          <t>AI enrichment reserve (realistic+)</t>
        </is>
      </c>
      <c r="G13" s="27" t="inlineStr">
        <is>
          <t>CloudZero and Finout confirmed May 2026; use gpt-4o-mini for cost control</t>
        </is>
      </c>
    </row>
    <row r="14" ht="22" customHeight="1">
      <c r="B14" s="21" t="inlineStr">
        <is>
          <t>UptimeRobot</t>
        </is>
      </c>
      <c r="C14" s="21" t="inlineStr">
        <is>
          <t>Monitoring</t>
        </is>
      </c>
      <c r="D14" s="21" t="inlineStr">
        <is>
          <t>Free / Starter</t>
        </is>
      </c>
      <c r="E14" s="34" t="inlineStr">
        <is>
          <t>€0 to €7/month</t>
        </is>
      </c>
      <c r="F14" s="21" t="inlineStr">
        <is>
          <t>Monitoring (realistic+)</t>
        </is>
      </c>
      <c r="G14" s="23" t="inlineStr">
        <is>
          <t>Free tier covers up to 50 monitors; paid for shorter intervals</t>
        </is>
      </c>
    </row>
    <row r="15" ht="22" customHeight="1">
      <c r="B15" s="25" t="inlineStr">
        <is>
          <t>Better Stack</t>
        </is>
      </c>
      <c r="C15" s="25" t="inlineStr">
        <is>
          <t>Monitoring with alerting</t>
        </is>
      </c>
      <c r="D15" s="25" t="inlineStr">
        <is>
          <t>Starter</t>
        </is>
      </c>
      <c r="E15" s="35" t="inlineStr">
        <is>
          <t>Approx €29/month</t>
        </is>
      </c>
      <c r="F15" s="25" t="inlineStr">
        <is>
          <t>Monitoring (institutional)</t>
        </is>
      </c>
      <c r="G15" s="27" t="inlineStr">
        <is>
          <t>Confirmed pricing via official site; includes log drain</t>
        </is>
      </c>
    </row>
    <row r="16" ht="22" customHeight="1">
      <c r="B16" s="21" t="inlineStr">
        <is>
          <t>Linear/GitHub Issues</t>
        </is>
      </c>
      <c r="C16" s="21" t="inlineStr">
        <is>
          <t>Project management</t>
        </is>
      </c>
      <c r="D16" s="21" t="inlineStr">
        <is>
          <t>Free/Starter</t>
        </is>
      </c>
      <c r="E16" s="34" t="inlineStr">
        <is>
          <t>€0 to €8/month</t>
        </is>
      </c>
      <c r="F16" s="21" t="inlineStr">
        <is>
          <t>Dev workflow</t>
        </is>
      </c>
      <c r="G16" s="23" t="inlineStr">
        <is>
          <t>Not included in cost model; ultra-lean uses GitHub free tier</t>
        </is>
      </c>
    </row>
    <row r="17" ht="22" customHeight="1">
      <c r="B17" s="25" t="inlineStr">
        <is>
          <t>Cursor or GitHub Copilot</t>
        </is>
      </c>
      <c r="C17" s="25" t="inlineStr">
        <is>
          <t>AI coding assistant</t>
        </is>
      </c>
      <c r="D17" s="25" t="inlineStr">
        <is>
          <t>Individual seat</t>
        </is>
      </c>
      <c r="E17" s="35" t="inlineStr">
        <is>
          <t>€19 to €40/month</t>
        </is>
      </c>
      <c r="F17" s="25" t="inlineStr">
        <is>
          <t>AI coding tools (all scenarios)</t>
        </is>
      </c>
      <c r="G17" s="27" t="inlineStr">
        <is>
          <t>One to two seats assumed in model</t>
        </is>
      </c>
    </row>
  </sheetData>
  <mergeCells count="1">
    <mergeCell ref="B2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7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8" customHeight="1"/>
    <row r="2" ht="28" customHeight="1">
      <c r="B2" s="1" t="inlineStr">
        <is>
          <t>Cost Scenario Charts – UM Maastricht Alumni Network</t>
        </is>
      </c>
    </row>
    <row r="4">
      <c r="B4" s="36" t="inlineStr">
        <is>
          <t>Scenario</t>
        </is>
      </c>
      <c r="C4" s="36" t="inlineStr">
        <is>
          <t>One-off (EUR)</t>
        </is>
      </c>
      <c r="D4" s="36" t="inlineStr">
        <is>
          <t>Monthly run-rate (EUR)</t>
        </is>
      </c>
      <c r="E4" s="36" t="inlineStr">
        <is>
          <t>First-year total (EUR)</t>
        </is>
      </c>
    </row>
    <row r="5">
      <c r="B5" t="inlineStr">
        <is>
          <t>Ultra-lean MVP</t>
        </is>
      </c>
      <c r="C5" s="37" t="n">
        <v>9500</v>
      </c>
      <c r="D5" s="37" t="n">
        <v>3225</v>
      </c>
      <c r="E5" s="37" t="n">
        <v>48215</v>
      </c>
    </row>
    <row r="6">
      <c r="B6" t="inlineStr">
        <is>
          <t>Realistic MVP</t>
        </is>
      </c>
      <c r="C6" s="37" t="n">
        <v>15300</v>
      </c>
      <c r="D6" s="37" t="n">
        <v>8118</v>
      </c>
      <c r="E6" s="37" t="n">
        <v>112725</v>
      </c>
    </row>
    <row r="7">
      <c r="B7" t="inlineStr">
        <is>
          <t>Institutional rollout</t>
        </is>
      </c>
      <c r="C7" s="37" t="n">
        <v>25900</v>
      </c>
      <c r="D7" s="37" t="n">
        <v>19428</v>
      </c>
      <c r="E7" s="37" t="n">
        <v>259061</v>
      </c>
    </row>
  </sheetData>
  <mergeCells count="1">
    <mergeCell ref="B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2026-05-03T23:31:19Z</dcterms:created>
  <dcterms:modified xmlns:dcterms="http://purl.org/dc/terms/" xmlns:xsi="http://www.w3.org/2001/XMLSchema-instance" xsi:type="dcterms:W3CDTF">2026-05-03T23:31:19Z</dcterms:modified>
</cp:coreProperties>
</file>